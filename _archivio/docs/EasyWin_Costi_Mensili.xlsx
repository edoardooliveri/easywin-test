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olooliveri/Desktop/sito easywin/"/>
    </mc:Choice>
  </mc:AlternateContent>
  <xr:revisionPtr revIDLastSave="0" documentId="11_F137787B03EAAA216D47AF8101BC1FF7671CA948" xr6:coauthVersionLast="47" xr6:coauthVersionMax="47" xr10:uidLastSave="{00000000-0000-0000-0000-000000000000}"/>
  <bookViews>
    <workbookView xWindow="0" yWindow="600" windowWidth="28800" windowHeight="16260" tabRatio="500" xr2:uid="{00000000-000D-0000-FFFF-FFFF00000000}"/>
  </bookViews>
  <sheets>
    <sheet name="Costi Mensili EasyWin" sheetId="1" r:id="rId1"/>
  </sheets>
  <definedNames>
    <definedName name="_xlnm.Print_Area" localSheetId="0">'Costi Mensili EasyWin'!$A$1:$C$53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" l="1"/>
  <c r="B22" i="1"/>
  <c r="B21" i="1"/>
  <c r="B33" i="1" l="1"/>
  <c r="B35" i="1" s="1"/>
  <c r="B32" i="1"/>
  <c r="B34" i="1" s="1"/>
  <c r="B36" i="1" s="1"/>
  <c r="B40" i="1" s="1"/>
  <c r="B25" i="1"/>
  <c r="B27" i="1" s="1"/>
  <c r="B23" i="1"/>
  <c r="B26" i="1" s="1"/>
  <c r="B28" i="1" s="1"/>
  <c r="B39" i="1" s="1"/>
  <c r="B41" i="1" s="1"/>
  <c r="B42" i="1" s="1"/>
  <c r="B48" i="1" s="1"/>
</calcChain>
</file>

<file path=xl/sharedStrings.xml><?xml version="1.0" encoding="utf-8"?>
<sst xmlns="http://schemas.openxmlformats.org/spreadsheetml/2006/main" count="67" uniqueCount="60">
  <si>
    <t>EasyWin — Costi Mensili del Sito</t>
  </si>
  <si>
    <t>Stima basata su 200 documenti/giorno (100 bandi + 100 esiti)</t>
  </si>
  <si>
    <t>Voce di costo</t>
  </si>
  <si>
    <t>Costo Mensile (€)</t>
  </si>
  <si>
    <t>Note</t>
  </si>
  <si>
    <t>PARAMETRI (celle gialle = modificabili)</t>
  </si>
  <si>
    <t>Bandi importati al giorno</t>
  </si>
  <si>
    <t>Da Presidia (automatico)</t>
  </si>
  <si>
    <t>Esiti caricati al giorno</t>
  </si>
  <si>
    <t>Caricamento manuale</t>
  </si>
  <si>
    <t>Pagine medie per documento</t>
  </si>
  <si>
    <t>Max stimato</t>
  </si>
  <si>
    <t>Token per pagina</t>
  </si>
  <si>
    <t>Media documenti PDF</t>
  </si>
  <si>
    <t>Analisi interattive al giorno</t>
  </si>
  <si>
    <t>Utenti che analizzano singoli doc</t>
  </si>
  <si>
    <t>PREZZI API ANTHROPIC (USD per milione di token)</t>
  </si>
  <si>
    <t>Haiku — Input (import massivo)</t>
  </si>
  <si>
    <t>claude-haiku-4-5</t>
  </si>
  <si>
    <t>Haiku — Output (import massivo)</t>
  </si>
  <si>
    <t>Sonnet — Input (analisi interattiva)</t>
  </si>
  <si>
    <t>claude-sonnet-4</t>
  </si>
  <si>
    <t>Sonnet — Output (analisi interattiva)</t>
  </si>
  <si>
    <t>Cambio EUR/USD</t>
  </si>
  <si>
    <t>Aggiornare se cambia</t>
  </si>
  <si>
    <t>COSTO AI — IMPORT MASSIVO (Haiku)</t>
  </si>
  <si>
    <t>Documenti al giorno (bandi + esiti)</t>
  </si>
  <si>
    <t>Token input per documento</t>
  </si>
  <si>
    <t>Pagine × tok/pag + prompt</t>
  </si>
  <si>
    <t>Token input giornalieri (milioni)</t>
  </si>
  <si>
    <t>Token output medi per documento</t>
  </si>
  <si>
    <t>~2K bandi, ~4K esiti</t>
  </si>
  <si>
    <t>Token output giornalieri (milioni)</t>
  </si>
  <si>
    <t>Costo input giornaliero ($)</t>
  </si>
  <si>
    <t>Costo output giornaliero ($)</t>
  </si>
  <si>
    <t>Costo AI Haiku mensile ($)</t>
  </si>
  <si>
    <t>COSTO AI — ANALISI INTERATTIVA (Sonnet)</t>
  </si>
  <si>
    <t>Token input per analisi (milioni)</t>
  </si>
  <si>
    <t>Token output per analisi (milioni)</t>
  </si>
  <si>
    <t>Costo AI Sonnet mensile ($)</t>
  </si>
  <si>
    <t>RIEPILOGO COSTI MENSILI</t>
  </si>
  <si>
    <t>AI Import Massivo (Haiku)</t>
  </si>
  <si>
    <t>$</t>
  </si>
  <si>
    <t>AI Analisi Interattiva (Sonnet)</t>
  </si>
  <si>
    <t>Totale AI mensile ($)</t>
  </si>
  <si>
    <t>Totale AI mensile (€)</t>
  </si>
  <si>
    <t>€</t>
  </si>
  <si>
    <t>Server hosting (stima)</t>
  </si>
  <si>
    <t>€ — VPS o cloud</t>
  </si>
  <si>
    <t>Dominio + SSL</t>
  </si>
  <si>
    <t>€ — easywin.it</t>
  </si>
  <si>
    <t>Database PostgreSQL</t>
  </si>
  <si>
    <t>€ — incluso nel server</t>
  </si>
  <si>
    <t>Presidia API</t>
  </si>
  <si>
    <t>€ — da verificare contratto</t>
  </si>
  <si>
    <t>TOTALE MENSILE SITO</t>
  </si>
  <si>
    <t>Legenda:</t>
  </si>
  <si>
    <t>Celle gialle con testo blu = valori modificabili</t>
  </si>
  <si>
    <t>Celle verdi = totali calcolati automaticamente</t>
  </si>
  <si>
    <t>Modifica i parametri in alto per aggiornare tutti i costi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</si>
</sst>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€#,##0.00"/>
  </numFmts>
  <fonts count="14" x14ac:knownFonts="1">
    <font>
      <sz val="11"/>
      <color theme="1"/>
      <name val="Calibri"/>
      <family val="2"/>
      <charset val="1"/>
    </font>
    <font>
      <b/>
      <sz val="16"/>
      <color rgb="FF1B4F72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b/>
      <sz val="11"/>
      <color rgb="FF1B4F72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0"/>
      <color rgb="FF888888"/>
      <name val="Arial"/>
      <charset val="1"/>
    </font>
    <font>
      <b/>
      <sz val="11"/>
      <name val="Arial"/>
      <charset val="1"/>
    </font>
    <font>
      <b/>
      <sz val="14"/>
      <color rgb="FF1B4F72"/>
      <name val="Arial"/>
      <charset val="1"/>
    </font>
    <font>
      <b/>
      <sz val="14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9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3" fontId="6" fillId="3" borderId="0" xfId="0" applyNumberFormat="1" applyFont="1" applyFill="1" applyAlignment="1">
      <alignment horizontal="center"/>
    </xf>
    <xf numFmtId="0" fontId="7" fillId="0" borderId="0" xfId="0" applyFont="1"/>
    <xf numFmtId="4" fontId="6" fillId="3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4" fontId="8" fillId="4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10" fillId="2" borderId="0" xfId="0" applyFont="1" applyFill="1" applyAlignment="1">
      <alignment vertical="center"/>
    </xf>
    <xf numFmtId="165" fontId="1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2" fillId="0" borderId="0" xfId="0" applyFont="1"/>
    <xf numFmtId="0" fontId="1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zoomScaleNormal="100" workbookViewId="0">
      <selection sqref="A1:C1"/>
    </sheetView>
  </sheetViews>
  <sheetFormatPr baseColWidth="10" defaultColWidth="8.6640625" defaultRowHeight="15" customHeight="1" x14ac:dyDescent="0.2"/>
  <cols>
    <col min="1" max="1" width="42" customWidth="1"/>
    <col min="2" max="2" width="20" customWidth="1"/>
    <col min="3" max="3" width="35" customWidth="1"/>
  </cols>
  <sheetData>
    <row r="1" spans="1:3" ht="39.75" customHeight="1" x14ac:dyDescent="0.2">
      <c r="A1" s="4" t="s">
        <v>0</v>
      </c>
      <c r="B1" s="4"/>
      <c r="C1" s="4"/>
    </row>
    <row r="2" spans="1:3" x14ac:dyDescent="0.2">
      <c r="A2" s="3" t="s">
        <v>1</v>
      </c>
      <c r="B2" s="3"/>
      <c r="C2" s="3"/>
    </row>
    <row r="4" spans="1:3" ht="30" customHeight="1" x14ac:dyDescent="0.2">
      <c r="A4" s="5" t="s">
        <v>2</v>
      </c>
      <c r="B4" s="5" t="s">
        <v>3</v>
      </c>
      <c r="C4" s="5" t="s">
        <v>4</v>
      </c>
    </row>
    <row r="6" spans="1:3" x14ac:dyDescent="0.2">
      <c r="A6" s="2" t="s">
        <v>5</v>
      </c>
      <c r="B6" s="2"/>
      <c r="C6" s="2"/>
    </row>
    <row r="7" spans="1:3" x14ac:dyDescent="0.2">
      <c r="A7" s="6" t="s">
        <v>6</v>
      </c>
      <c r="B7" s="7">
        <v>100</v>
      </c>
      <c r="C7" s="8" t="s">
        <v>7</v>
      </c>
    </row>
    <row r="8" spans="1:3" x14ac:dyDescent="0.2">
      <c r="A8" s="6" t="s">
        <v>8</v>
      </c>
      <c r="B8" s="7">
        <v>100</v>
      </c>
      <c r="C8" s="8" t="s">
        <v>9</v>
      </c>
    </row>
    <row r="9" spans="1:3" x14ac:dyDescent="0.2">
      <c r="A9" s="6" t="s">
        <v>10</v>
      </c>
      <c r="B9" s="7">
        <v>10</v>
      </c>
      <c r="C9" s="8" t="s">
        <v>11</v>
      </c>
    </row>
    <row r="10" spans="1:3" x14ac:dyDescent="0.2">
      <c r="A10" s="6" t="s">
        <v>12</v>
      </c>
      <c r="B10" s="7">
        <v>1500</v>
      </c>
      <c r="C10" s="8" t="s">
        <v>13</v>
      </c>
    </row>
    <row r="11" spans="1:3" x14ac:dyDescent="0.2">
      <c r="A11" s="6" t="s">
        <v>14</v>
      </c>
      <c r="B11" s="7">
        <v>20</v>
      </c>
      <c r="C11" s="8" t="s">
        <v>15</v>
      </c>
    </row>
    <row r="13" spans="1:3" x14ac:dyDescent="0.2">
      <c r="A13" s="2" t="s">
        <v>16</v>
      </c>
      <c r="B13" s="2"/>
      <c r="C13" s="2"/>
    </row>
    <row r="14" spans="1:3" x14ac:dyDescent="0.2">
      <c r="A14" s="6" t="s">
        <v>17</v>
      </c>
      <c r="B14" s="9">
        <v>1</v>
      </c>
      <c r="C14" s="8" t="s">
        <v>18</v>
      </c>
    </row>
    <row r="15" spans="1:3" x14ac:dyDescent="0.2">
      <c r="A15" s="6" t="s">
        <v>19</v>
      </c>
      <c r="B15" s="9">
        <v>5</v>
      </c>
      <c r="C15" s="8" t="s">
        <v>18</v>
      </c>
    </row>
    <row r="16" spans="1:3" x14ac:dyDescent="0.2">
      <c r="A16" s="6" t="s">
        <v>20</v>
      </c>
      <c r="B16" s="9">
        <v>3</v>
      </c>
      <c r="C16" s="8" t="s">
        <v>21</v>
      </c>
    </row>
    <row r="17" spans="1:3" x14ac:dyDescent="0.2">
      <c r="A17" s="6" t="s">
        <v>22</v>
      </c>
      <c r="B17" s="9">
        <v>15</v>
      </c>
      <c r="C17" s="8" t="s">
        <v>21</v>
      </c>
    </row>
    <row r="18" spans="1:3" x14ac:dyDescent="0.2">
      <c r="A18" s="6" t="s">
        <v>23</v>
      </c>
      <c r="B18" s="9">
        <v>0.92</v>
      </c>
      <c r="C18" s="8" t="s">
        <v>24</v>
      </c>
    </row>
    <row r="20" spans="1:3" x14ac:dyDescent="0.2">
      <c r="A20" s="2" t="s">
        <v>25</v>
      </c>
      <c r="B20" s="2"/>
      <c r="C20" s="2"/>
    </row>
    <row r="21" spans="1:3" x14ac:dyDescent="0.2">
      <c r="A21" s="6" t="s">
        <v>26</v>
      </c>
      <c r="B21" s="10">
        <f>B7+B8</f>
        <v>200</v>
      </c>
      <c r="C21" s="8"/>
    </row>
    <row r="22" spans="1:3" x14ac:dyDescent="0.2">
      <c r="A22" s="6" t="s">
        <v>27</v>
      </c>
      <c r="B22" s="10">
        <f>B9*B10+700</f>
        <v>15700</v>
      </c>
      <c r="C22" s="8" t="s">
        <v>28</v>
      </c>
    </row>
    <row r="23" spans="1:3" x14ac:dyDescent="0.2">
      <c r="A23" s="6" t="s">
        <v>29</v>
      </c>
      <c r="B23" s="10">
        <f>B21*B22/1000000</f>
        <v>3.14</v>
      </c>
      <c r="C23" s="8"/>
    </row>
    <row r="24" spans="1:3" x14ac:dyDescent="0.2">
      <c r="A24" s="6" t="s">
        <v>30</v>
      </c>
      <c r="B24" s="11">
        <v>3000</v>
      </c>
      <c r="C24" s="8" t="s">
        <v>31</v>
      </c>
    </row>
    <row r="25" spans="1:3" x14ac:dyDescent="0.2">
      <c r="A25" s="6" t="s">
        <v>32</v>
      </c>
      <c r="B25" s="10">
        <f>B21*B24/1000000</f>
        <v>0.6</v>
      </c>
      <c r="C25" s="8"/>
    </row>
    <row r="26" spans="1:3" x14ac:dyDescent="0.2">
      <c r="A26" s="6" t="s">
        <v>33</v>
      </c>
      <c r="B26" s="10">
        <f>B23*B14</f>
        <v>3.14</v>
      </c>
      <c r="C26" s="8"/>
    </row>
    <row r="27" spans="1:3" x14ac:dyDescent="0.2">
      <c r="A27" s="6" t="s">
        <v>34</v>
      </c>
      <c r="B27" s="10">
        <f>B25*B15</f>
        <v>3</v>
      </c>
      <c r="C27" s="8"/>
    </row>
    <row r="28" spans="1:3" x14ac:dyDescent="0.2">
      <c r="A28" s="6" t="s">
        <v>35</v>
      </c>
      <c r="B28" s="12">
        <f>(B26+B27)*30</f>
        <v>184.20000000000002</v>
      </c>
      <c r="C28" s="8"/>
    </row>
    <row r="30" spans="1:3" x14ac:dyDescent="0.2">
      <c r="A30" s="2" t="s">
        <v>36</v>
      </c>
      <c r="B30" s="2"/>
      <c r="C30" s="2"/>
    </row>
    <row r="31" spans="1:3" x14ac:dyDescent="0.2">
      <c r="A31" s="6" t="s">
        <v>14</v>
      </c>
      <c r="B31" s="10">
        <f>B11</f>
        <v>20</v>
      </c>
      <c r="C31" s="8"/>
    </row>
    <row r="32" spans="1:3" x14ac:dyDescent="0.2">
      <c r="A32" s="6" t="s">
        <v>37</v>
      </c>
      <c r="B32" s="10">
        <f>B31*(B9*B10+700)/1000000</f>
        <v>0.314</v>
      </c>
      <c r="C32" s="8"/>
    </row>
    <row r="33" spans="1:3" x14ac:dyDescent="0.2">
      <c r="A33" s="6" t="s">
        <v>38</v>
      </c>
      <c r="B33" s="10">
        <f>B31*3000/1000000</f>
        <v>0.06</v>
      </c>
      <c r="C33" s="8"/>
    </row>
    <row r="34" spans="1:3" x14ac:dyDescent="0.2">
      <c r="A34" s="6" t="s">
        <v>33</v>
      </c>
      <c r="B34" s="10">
        <f>B32*B16</f>
        <v>0.94199999999999995</v>
      </c>
      <c r="C34" s="8"/>
    </row>
    <row r="35" spans="1:3" x14ac:dyDescent="0.2">
      <c r="A35" s="6" t="s">
        <v>34</v>
      </c>
      <c r="B35" s="10">
        <f>B33*B17</f>
        <v>0.89999999999999991</v>
      </c>
      <c r="C35" s="8"/>
    </row>
    <row r="36" spans="1:3" x14ac:dyDescent="0.2">
      <c r="A36" s="6" t="s">
        <v>39</v>
      </c>
      <c r="B36" s="12">
        <f>(B34+B35)*30</f>
        <v>55.26</v>
      </c>
      <c r="C36" s="8"/>
    </row>
    <row r="38" spans="1:3" ht="18" x14ac:dyDescent="0.2">
      <c r="A38" s="1" t="s">
        <v>40</v>
      </c>
      <c r="B38" s="1"/>
      <c r="C38" s="1"/>
    </row>
    <row r="39" spans="1:3" x14ac:dyDescent="0.2">
      <c r="A39" s="6" t="s">
        <v>41</v>
      </c>
      <c r="B39" s="13">
        <f>B28</f>
        <v>184.20000000000002</v>
      </c>
      <c r="C39" s="8" t="s">
        <v>42</v>
      </c>
    </row>
    <row r="40" spans="1:3" x14ac:dyDescent="0.2">
      <c r="A40" s="6" t="s">
        <v>43</v>
      </c>
      <c r="B40" s="13">
        <f>B36</f>
        <v>55.26</v>
      </c>
      <c r="C40" s="8" t="s">
        <v>42</v>
      </c>
    </row>
    <row r="41" spans="1:3" x14ac:dyDescent="0.2">
      <c r="A41" s="6" t="s">
        <v>44</v>
      </c>
      <c r="B41" s="14">
        <f>B39+B40</f>
        <v>239.46</v>
      </c>
      <c r="C41" s="8" t="s">
        <v>42</v>
      </c>
    </row>
    <row r="42" spans="1:3" x14ac:dyDescent="0.2">
      <c r="A42" s="6" t="s">
        <v>45</v>
      </c>
      <c r="B42" s="15">
        <f>B41*B18</f>
        <v>220.3032</v>
      </c>
      <c r="C42" s="8" t="s">
        <v>46</v>
      </c>
    </row>
    <row r="43" spans="1:3" x14ac:dyDescent="0.2">
      <c r="A43" s="6" t="s">
        <v>47</v>
      </c>
      <c r="B43" s="16">
        <v>50</v>
      </c>
      <c r="C43" s="8" t="s">
        <v>48</v>
      </c>
    </row>
    <row r="44" spans="1:3" x14ac:dyDescent="0.2">
      <c r="A44" s="6" t="s">
        <v>49</v>
      </c>
      <c r="B44" s="16">
        <v>5</v>
      </c>
      <c r="C44" s="8" t="s">
        <v>50</v>
      </c>
    </row>
    <row r="45" spans="1:3" x14ac:dyDescent="0.2">
      <c r="A45" s="6" t="s">
        <v>51</v>
      </c>
      <c r="B45" s="16">
        <v>0</v>
      </c>
      <c r="C45" s="8" t="s">
        <v>52</v>
      </c>
    </row>
    <row r="46" spans="1:3" x14ac:dyDescent="0.2">
      <c r="A46" s="6" t="s">
        <v>53</v>
      </c>
      <c r="B46" s="16">
        <v>0</v>
      </c>
      <c r="C46" s="8" t="s">
        <v>54</v>
      </c>
    </row>
    <row r="48" spans="1:3" ht="39.75" customHeight="1" x14ac:dyDescent="0.2">
      <c r="A48" s="17" t="s">
        <v>55</v>
      </c>
      <c r="B48" s="18">
        <f>B42+B43+B44+B45+B46</f>
        <v>275.3032</v>
      </c>
      <c r="C48" s="19"/>
    </row>
    <row r="50" spans="1:1" x14ac:dyDescent="0.2">
      <c r="A50" s="20" t="s">
        <v>56</v>
      </c>
    </row>
    <row r="51" spans="1:1" x14ac:dyDescent="0.2">
      <c r="A51" s="21" t="s">
        <v>57</v>
      </c>
    </row>
    <row r="52" spans="1:1" x14ac:dyDescent="0.2">
      <c r="A52" s="21" t="s">
        <v>58</v>
      </c>
    </row>
    <row r="53" spans="1:1" x14ac:dyDescent="0.2">
      <c r="A53" s="21" t="s">
        <v>59</v>
      </c>
    </row>
  </sheetData>
  <mergeCells count="7">
    <mergeCell ref="A30:C30"/>
    <mergeCell ref="A38:C38"/>
    <mergeCell ref="A1:C1"/>
    <mergeCell ref="A2:C2"/>
    <mergeCell ref="A6:C6"/>
    <mergeCell ref="A13:C13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Costi Mensili EasyWin</vt:lpstr>
      <vt:lpstr>'Costi Mensili EasyWin'!Area_stampa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Oliveri, Edoardo</cp:lastModifiedBy>
  <cp:revision>0</cp:revision>
  <dcterms:created xsi:type="dcterms:W3CDTF">2026-03-30T22:32:23Z</dcterms:created>
  <dcterms:modified xsi:type="dcterms:W3CDTF">2026-03-30T22:34:55Z</dcterms:modified>
  <dc:language>en-US</dc:language>
</cp:coreProperties>
</file>