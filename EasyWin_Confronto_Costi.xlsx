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ronto Cost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<sst xmlns="http://schemas.openxmlformats.org/spreadsheetml/2006/main" count="72" uniqueCount="67">
  <si>
    <t xml:space="preserve">EASYWIN — Confronto Costi Mensili: Vecchio vs Nuovo</t>
  </si>
  <si>
    <t xml:space="preserve">Le celle gialle sono modificabili</t>
  </si>
  <si>
    <t xml:space="preserve">Voce</t>
  </si>
  <si>
    <t xml:space="preserve">Vecchio Sito (stima)</t>
  </si>
  <si>
    <t xml:space="preserve">Nuovo Sito</t>
  </si>
  <si>
    <t xml:space="preserve">Note</t>
  </si>
  <si>
    <t xml:space="preserve">SERVER / HOSTING</t>
  </si>
  <si>
    <t xml:space="preserve">Server dedicato (hosting)</t>
  </si>
  <si>
    <t xml:space="preserve">Aruba AV-A106 (59€ con sconto AMD2026)</t>
  </si>
  <si>
    <t xml:space="preserve">Licenza Windows Server 2019</t>
  </si>
  <si>
    <t xml:space="preserve">Ubuntu Linux = gratuito</t>
  </si>
  <si>
    <t xml:space="preserve">Licenza SQL Server 2017</t>
  </si>
  <si>
    <t xml:space="preserve">PostgreSQL = gratuito</t>
  </si>
  <si>
    <t xml:space="preserve">Certificato SSL</t>
  </si>
  <si>
    <t xml:space="preserve">Let's Encrypt = gratuito</t>
  </si>
  <si>
    <t xml:space="preserve">Backup automatico</t>
  </si>
  <si>
    <t xml:space="preserve">Aruba Backup opzionale</t>
  </si>
  <si>
    <t xml:space="preserve">Subtotale Server/Hosting</t>
  </si>
  <si>
    <t xml:space="preserve">DOMINIO &amp; DNS</t>
  </si>
  <si>
    <t xml:space="preserve">Dominio easywin.it (annuo/12)</t>
  </si>
  <si>
    <t xml:space="preserve">Stesso dominio, stessa spesa</t>
  </si>
  <si>
    <t xml:space="preserve">INTELLIGENZA ARTIFICIALE</t>
  </si>
  <si>
    <t xml:space="preserve">AI Import massivo (Claude Haiku)</t>
  </si>
  <si>
    <t xml:space="preserve">100 bandi + 100 esiti/giorno, max 10 pag</t>
  </si>
  <si>
    <t xml:space="preserve">AI Analisi interattiva (Claude Sonnet)</t>
  </si>
  <si>
    <t xml:space="preserve">~50 analisi interattive/giorno</t>
  </si>
  <si>
    <t xml:space="preserve">Subtotale AI</t>
  </si>
  <si>
    <t xml:space="preserve">SERVIZI ESTERNI</t>
  </si>
  <si>
    <t xml:space="preserve">Presidia (abbonamento dati bandi)</t>
  </si>
  <si>
    <t xml:space="preserve">Inserire costo se applicabile</t>
  </si>
  <si>
    <t xml:space="preserve">Email/PEC (invio notifiche)</t>
  </si>
  <si>
    <t xml:space="preserve">Stesso servizio</t>
  </si>
  <si>
    <t xml:space="preserve">TOTALE MENSILE</t>
  </si>
  <si>
    <t xml:space="preserve">TOTALE ANNUALE</t>
  </si>
  <si>
    <t xml:space="preserve">RISPARMIO MENSILE</t>
  </si>
  <si>
    <t xml:space="preserve">Risparmio con il nuovo sito</t>
  </si>
  <si>
    <t xml:space="preserve">RISPARMIO ANNUALE</t>
  </si>
  <si>
    <t xml:space="preserve">NOTA: Il nuovo sito ha un costo AI di ~220€/mese in più, ma elimina le licenze Windows+SQL Server e offre funzionalità avanzate (analisi automatica bandi, simulazioni AI, range statistico) che prima non esistevano.</t>
  </si>
  <si>
    <t xml:space="preserve">SPECIFICHE TECNICHE A CONFRONTO</t>
  </si>
  <si>
    <t xml:space="preserve">Componente</t>
  </si>
  <si>
    <t xml:space="preserve">Vecchio Server</t>
  </si>
  <si>
    <t xml:space="preserve">Nuovo Server (Aruba AV-A106)</t>
  </si>
  <si>
    <t xml:space="preserve">Sistema Operativo</t>
  </si>
  <si>
    <t xml:space="preserve">Windows Server 2019 Standard</t>
  </si>
  <si>
    <t xml:space="preserve">Ubuntu 24.04 LTS</t>
  </si>
  <si>
    <t xml:space="preserve">CPU</t>
  </si>
  <si>
    <t xml:space="preserve">da verificare</t>
  </si>
  <si>
    <t xml:space="preserve">AMD Ryzen 7 7700X (8 core / 16 thread)</t>
  </si>
  <si>
    <t xml:space="preserve">RAM</t>
  </si>
  <si>
    <t xml:space="preserve">64 GB DDR5 ECC</t>
  </si>
  <si>
    <t xml:space="preserve">Storage</t>
  </si>
  <si>
    <t xml:space="preserve">2 x 1 TB NVMe (RAID 1)</t>
  </si>
  <si>
    <t xml:space="preserve">Database</t>
  </si>
  <si>
    <t xml:space="preserve">SQL Server 2017 (56 GB)</t>
  </si>
  <si>
    <t xml:space="preserve">PostgreSQL 16 (56 GB)</t>
  </si>
  <si>
    <t xml:space="preserve">Web Server</t>
  </si>
  <si>
    <t xml:space="preserve">IIS 10.0</t>
  </si>
  <si>
    <t xml:space="preserve">Nginx + Node.js</t>
  </si>
  <si>
    <t xml:space="preserve">AI integrata</t>
  </si>
  <si>
    <t xml:space="preserve">Nessuna</t>
  </si>
  <si>
    <t xml:space="preserve">Claude Haiku + Sonnet</t>
  </si>
  <si>
    <t xml:space="preserve">A pagamento</t>
  </si>
  <si>
    <t xml:space="preserve">Let's Encrypt (gratuito)</t>
  </si>
  <si>
    <t xml:space="preserve">Datacenter</t>
  </si>
  <si>
    <t xml:space="preserve">Italia (Arezzo, Aruba)</t>
  </si>
  <si>
    <t xml:space="preserve">Rete</t>
  </si>
  <si>
    <t xml:space="preserve">1 Gbps, traffico illimitato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</si>
</sst>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548235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404040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CE4EC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CE4E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40404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22"/>
    <col collapsed="false" customWidth="true" hidden="false" outlineLevel="0" max="5" min="5" style="0" width="25"/>
  </cols>
  <sheetData>
    <row r="1" customFormat="false" ht="17.35" hidden="false" customHeight="false" outlineLevel="0" collapsed="false">
      <c r="B1" s="1" t="s">
        <v>0</v>
      </c>
      <c r="C1" s="1"/>
      <c r="D1" s="1"/>
      <c r="E1" s="1"/>
    </row>
    <row r="2" customFormat="false" ht="15" hidden="false" customHeight="false" outlineLevel="0" collapsed="false">
      <c r="B2" s="2" t="s">
        <v>1</v>
      </c>
      <c r="C2" s="2"/>
      <c r="D2" s="2"/>
      <c r="E2" s="2"/>
    </row>
    <row r="4" customFormat="false" ht="15" hidden="false" customHeight="false" outlineLevel="0" collapsed="false">
      <c r="A4" s="3"/>
      <c r="B4" s="3" t="s">
        <v>2</v>
      </c>
      <c r="C4" s="3" t="s">
        <v>3</v>
      </c>
      <c r="D4" s="3" t="s">
        <v>4</v>
      </c>
      <c r="E4" s="3" t="s">
        <v>5</v>
      </c>
    </row>
    <row r="5" customFormat="false" ht="15" hidden="false" customHeight="false" outlineLevel="0" collapsed="false">
      <c r="A5" s="4"/>
      <c r="B5" s="5" t="s">
        <v>6</v>
      </c>
      <c r="C5" s="5"/>
      <c r="D5" s="5"/>
      <c r="E5" s="5"/>
    </row>
    <row r="6" customFormat="false" ht="22.35" hidden="false" customHeight="false" outlineLevel="0" collapsed="false">
      <c r="A6" s="6"/>
      <c r="B6" s="7" t="s">
        <v>7</v>
      </c>
      <c r="C6" s="8" t="n">
        <v>120</v>
      </c>
      <c r="D6" s="8" t="n">
        <v>73.75</v>
      </c>
      <c r="E6" s="9" t="s">
        <v>8</v>
      </c>
    </row>
    <row r="7" customFormat="false" ht="15" hidden="false" customHeight="false" outlineLevel="0" collapsed="false">
      <c r="A7" s="6"/>
      <c r="B7" s="7" t="s">
        <v>9</v>
      </c>
      <c r="C7" s="8" t="n">
        <v>25</v>
      </c>
      <c r="D7" s="10" t="n">
        <v>0</v>
      </c>
      <c r="E7" s="9" t="s">
        <v>10</v>
      </c>
    </row>
    <row r="8" customFormat="false" ht="15" hidden="false" customHeight="false" outlineLevel="0" collapsed="false">
      <c r="A8" s="6"/>
      <c r="B8" s="7" t="s">
        <v>11</v>
      </c>
      <c r="C8" s="8" t="n">
        <v>150</v>
      </c>
      <c r="D8" s="10" t="n">
        <v>0</v>
      </c>
      <c r="E8" s="9" t="s">
        <v>12</v>
      </c>
    </row>
    <row r="9" customFormat="false" ht="15" hidden="false" customHeight="false" outlineLevel="0" collapsed="false">
      <c r="A9" s="6"/>
      <c r="B9" s="7" t="s">
        <v>13</v>
      </c>
      <c r="C9" s="8" t="n">
        <v>8</v>
      </c>
      <c r="D9" s="10" t="n">
        <v>0</v>
      </c>
      <c r="E9" s="9" t="s">
        <v>14</v>
      </c>
    </row>
    <row r="10" customFormat="false" ht="15" hidden="false" customHeight="false" outlineLevel="0" collapsed="false">
      <c r="A10" s="6"/>
      <c r="B10" s="7" t="s">
        <v>15</v>
      </c>
      <c r="C10" s="8" t="n">
        <v>15</v>
      </c>
      <c r="D10" s="8" t="n">
        <v>10</v>
      </c>
      <c r="E10" s="9" t="s">
        <v>16</v>
      </c>
    </row>
    <row r="11" customFormat="false" ht="15" hidden="false" customHeight="false" outlineLevel="0" collapsed="false">
      <c r="A11" s="11"/>
      <c r="B11" s="12" t="s">
        <v>17</v>
      </c>
      <c r="C11" s="13" t="n">
        <f aca="false">SUM(C6:C10)</f>
        <v>318</v>
      </c>
      <c r="D11" s="14" t="n">
        <f aca="false">SUM(D6:D10)</f>
        <v>83.75</v>
      </c>
      <c r="E11" s="11"/>
    </row>
    <row r="12" customFormat="false" ht="15" hidden="false" customHeight="false" outlineLevel="0" collapsed="false">
      <c r="A12" s="4"/>
      <c r="B12" s="5" t="s">
        <v>18</v>
      </c>
      <c r="C12" s="5"/>
      <c r="D12" s="5"/>
      <c r="E12" s="5"/>
    </row>
    <row r="13" customFormat="false" ht="15" hidden="false" customHeight="false" outlineLevel="0" collapsed="false">
      <c r="A13" s="6"/>
      <c r="B13" s="7" t="s">
        <v>19</v>
      </c>
      <c r="C13" s="8" t="n">
        <v>2.5</v>
      </c>
      <c r="D13" s="8" t="n">
        <v>2.5</v>
      </c>
      <c r="E13" s="15" t="s">
        <v>20</v>
      </c>
    </row>
    <row r="14" customFormat="false" ht="15" hidden="false" customHeight="false" outlineLevel="0" collapsed="false">
      <c r="A14" s="4"/>
      <c r="B14" s="5" t="s">
        <v>21</v>
      </c>
      <c r="C14" s="5"/>
      <c r="D14" s="5"/>
      <c r="E14" s="5"/>
    </row>
    <row r="15" customFormat="false" ht="22.35" hidden="false" customHeight="false" outlineLevel="0" collapsed="false">
      <c r="A15" s="6"/>
      <c r="B15" s="7" t="s">
        <v>22</v>
      </c>
      <c r="C15" s="10" t="n">
        <v>0</v>
      </c>
      <c r="D15" s="8" t="n">
        <v>170</v>
      </c>
      <c r="E15" s="9" t="s">
        <v>23</v>
      </c>
    </row>
    <row r="16" customFormat="false" ht="15" hidden="false" customHeight="false" outlineLevel="0" collapsed="false">
      <c r="A16" s="6"/>
      <c r="B16" s="7" t="s">
        <v>24</v>
      </c>
      <c r="C16" s="10" t="n">
        <v>0</v>
      </c>
      <c r="D16" s="8" t="n">
        <v>50</v>
      </c>
      <c r="E16" s="9" t="s">
        <v>25</v>
      </c>
    </row>
    <row r="17" customFormat="false" ht="15" hidden="false" customHeight="false" outlineLevel="0" collapsed="false">
      <c r="A17" s="11"/>
      <c r="B17" s="12" t="s">
        <v>26</v>
      </c>
      <c r="C17" s="13" t="n">
        <f aca="false">SUM(C15:C16)</f>
        <v>0</v>
      </c>
      <c r="D17" s="14" t="n">
        <f aca="false">SUM(D15:D16)</f>
        <v>220</v>
      </c>
      <c r="E17" s="11"/>
    </row>
    <row r="18" customFormat="false" ht="15" hidden="false" customHeight="false" outlineLevel="0" collapsed="false">
      <c r="A18" s="4"/>
      <c r="B18" s="5" t="s">
        <v>27</v>
      </c>
      <c r="C18" s="5"/>
      <c r="D18" s="5"/>
      <c r="E18" s="5"/>
    </row>
    <row r="19" customFormat="false" ht="15" hidden="false" customHeight="false" outlineLevel="0" collapsed="false">
      <c r="A19" s="6"/>
      <c r="B19" s="7" t="s">
        <v>28</v>
      </c>
      <c r="C19" s="8" t="n">
        <v>0</v>
      </c>
      <c r="D19" s="8" t="n">
        <v>0</v>
      </c>
      <c r="E19" s="9" t="s">
        <v>29</v>
      </c>
    </row>
    <row r="20" customFormat="false" ht="15" hidden="false" customHeight="false" outlineLevel="0" collapsed="false">
      <c r="A20" s="6"/>
      <c r="B20" s="7" t="s">
        <v>30</v>
      </c>
      <c r="C20" s="8" t="n">
        <v>5</v>
      </c>
      <c r="D20" s="8" t="n">
        <v>5</v>
      </c>
      <c r="E20" s="15" t="s">
        <v>31</v>
      </c>
    </row>
    <row r="22" customFormat="false" ht="16.15" hidden="false" customHeight="false" outlineLevel="0" collapsed="false">
      <c r="A22" s="16"/>
      <c r="B22" s="17" t="s">
        <v>32</v>
      </c>
      <c r="C22" s="18" t="n">
        <f aca="false">C11+C13+C17+C19+C20</f>
        <v>325.5</v>
      </c>
      <c r="D22" s="18" t="n">
        <f aca="false">D11+D13+D17+D19+D20</f>
        <v>311.25</v>
      </c>
      <c r="E22" s="19"/>
    </row>
    <row r="23" customFormat="false" ht="15" hidden="false" customHeight="false" outlineLevel="0" collapsed="false">
      <c r="A23" s="20"/>
      <c r="B23" s="21" t="s">
        <v>33</v>
      </c>
      <c r="C23" s="22" t="n">
        <f aca="false">C22*12</f>
        <v>3906</v>
      </c>
      <c r="D23" s="22" t="n">
        <f aca="false">D22*12</f>
        <v>3735</v>
      </c>
      <c r="E23" s="20"/>
    </row>
    <row r="25" customFormat="false" ht="15" hidden="false" customHeight="false" outlineLevel="0" collapsed="false">
      <c r="A25" s="23"/>
      <c r="B25" s="24" t="s">
        <v>34</v>
      </c>
      <c r="C25" s="23"/>
      <c r="D25" s="25" t="n">
        <f aca="false">C22-D22</f>
        <v>14.25</v>
      </c>
      <c r="E25" s="26" t="s">
        <v>35</v>
      </c>
    </row>
    <row r="26" customFormat="false" ht="15" hidden="false" customHeight="false" outlineLevel="0" collapsed="false">
      <c r="A26" s="23"/>
      <c r="B26" s="24" t="s">
        <v>36</v>
      </c>
      <c r="C26" s="23"/>
      <c r="D26" s="25" t="n">
        <f aca="false">D25*12</f>
        <v>171</v>
      </c>
      <c r="E26" s="23"/>
    </row>
    <row r="28" customFormat="false" ht="45" hidden="false" customHeight="true" outlineLevel="0" collapsed="false">
      <c r="B28" s="27" t="s">
        <v>37</v>
      </c>
      <c r="C28" s="27"/>
      <c r="D28" s="27"/>
      <c r="E28" s="27"/>
    </row>
    <row r="30" customFormat="false" ht="15" hidden="false" customHeight="false" outlineLevel="0" collapsed="false">
      <c r="B30" s="28" t="s">
        <v>38</v>
      </c>
      <c r="C30" s="28"/>
      <c r="D30" s="28"/>
      <c r="E30" s="28"/>
    </row>
    <row r="31" customFormat="false" ht="15" hidden="false" customHeight="false" outlineLevel="0" collapsed="false">
      <c r="A31" s="29"/>
      <c r="B31" s="29" t="s">
        <v>39</v>
      </c>
      <c r="C31" s="29" t="s">
        <v>40</v>
      </c>
      <c r="D31" s="29" t="s">
        <v>41</v>
      </c>
      <c r="E31" s="29"/>
    </row>
    <row r="32" customFormat="false" ht="15" hidden="false" customHeight="false" outlineLevel="0" collapsed="false">
      <c r="A32" s="6"/>
      <c r="B32" s="30" t="s">
        <v>42</v>
      </c>
      <c r="C32" s="31" t="s">
        <v>43</v>
      </c>
      <c r="D32" s="32" t="s">
        <v>44</v>
      </c>
      <c r="E32" s="6"/>
    </row>
    <row r="33" customFormat="false" ht="15" hidden="false" customHeight="false" outlineLevel="0" collapsed="false">
      <c r="A33" s="6"/>
      <c r="B33" s="30" t="s">
        <v>45</v>
      </c>
      <c r="C33" s="31" t="s">
        <v>46</v>
      </c>
      <c r="D33" s="32" t="s">
        <v>47</v>
      </c>
      <c r="E33" s="6"/>
    </row>
    <row r="34" customFormat="false" ht="15" hidden="false" customHeight="false" outlineLevel="0" collapsed="false">
      <c r="A34" s="6"/>
      <c r="B34" s="30" t="s">
        <v>48</v>
      </c>
      <c r="C34" s="31" t="s">
        <v>46</v>
      </c>
      <c r="D34" s="32" t="s">
        <v>49</v>
      </c>
      <c r="E34" s="6"/>
    </row>
    <row r="35" customFormat="false" ht="15" hidden="false" customHeight="false" outlineLevel="0" collapsed="false">
      <c r="A35" s="6"/>
      <c r="B35" s="30" t="s">
        <v>50</v>
      </c>
      <c r="C35" s="31" t="s">
        <v>46</v>
      </c>
      <c r="D35" s="32" t="s">
        <v>51</v>
      </c>
      <c r="E35" s="6"/>
    </row>
    <row r="36" customFormat="false" ht="15" hidden="false" customHeight="false" outlineLevel="0" collapsed="false">
      <c r="A36" s="6"/>
      <c r="B36" s="30" t="s">
        <v>52</v>
      </c>
      <c r="C36" s="31" t="s">
        <v>53</v>
      </c>
      <c r="D36" s="32" t="s">
        <v>54</v>
      </c>
      <c r="E36" s="6"/>
    </row>
    <row r="37" customFormat="false" ht="15" hidden="false" customHeight="false" outlineLevel="0" collapsed="false">
      <c r="A37" s="6"/>
      <c r="B37" s="30" t="s">
        <v>55</v>
      </c>
      <c r="C37" s="31" t="s">
        <v>56</v>
      </c>
      <c r="D37" s="32" t="s">
        <v>57</v>
      </c>
      <c r="E37" s="6"/>
    </row>
    <row r="38" customFormat="false" ht="15" hidden="false" customHeight="false" outlineLevel="0" collapsed="false">
      <c r="A38" s="6"/>
      <c r="B38" s="30" t="s">
        <v>58</v>
      </c>
      <c r="C38" s="31" t="s">
        <v>59</v>
      </c>
      <c r="D38" s="32" t="s">
        <v>60</v>
      </c>
      <c r="E38" s="6"/>
    </row>
    <row r="39" customFormat="false" ht="15" hidden="false" customHeight="false" outlineLevel="0" collapsed="false">
      <c r="A39" s="6"/>
      <c r="B39" s="30" t="s">
        <v>13</v>
      </c>
      <c r="C39" s="31" t="s">
        <v>61</v>
      </c>
      <c r="D39" s="32" t="s">
        <v>62</v>
      </c>
      <c r="E39" s="6"/>
    </row>
    <row r="40" customFormat="false" ht="15" hidden="false" customHeight="false" outlineLevel="0" collapsed="false">
      <c r="A40" s="6"/>
      <c r="B40" s="30" t="s">
        <v>63</v>
      </c>
      <c r="C40" s="31" t="s">
        <v>46</v>
      </c>
      <c r="D40" s="32" t="s">
        <v>64</v>
      </c>
      <c r="E40" s="6"/>
    </row>
    <row r="41" customFormat="false" ht="15" hidden="false" customHeight="false" outlineLevel="0" collapsed="false">
      <c r="A41" s="6"/>
      <c r="B41" s="30" t="s">
        <v>65</v>
      </c>
      <c r="C41" s="31" t="s">
        <v>46</v>
      </c>
      <c r="D41" s="32" t="s">
        <v>66</v>
      </c>
      <c r="E41" s="6"/>
    </row>
  </sheetData>
  <mergeCells count="8">
    <mergeCell ref="B1:E1"/>
    <mergeCell ref="B2:E2"/>
    <mergeCell ref="B5:E5"/>
    <mergeCell ref="B12:E12"/>
    <mergeCell ref="B14:E14"/>
    <mergeCell ref="B18:E18"/>
    <mergeCell ref="B28:E28"/>
    <mergeCell ref="B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2026-03-31T16:04:35Z</dcterms:created>
  <dc:creator>openpyxl</dc:creator>
  <dc:description/>
  <dc:language>en-US</dc:language>
  <cp:lastModifiedBy/>
  <dcterms:modified xsi:type="dcterms:W3CDTF">2026-03-31T16:04:35Z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