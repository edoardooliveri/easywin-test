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ima Costi AI" sheetId="1" state="visible" r:id="rId3"/>
  </sheets>
  <definedNames>
    <definedName function="false" hidden="false" localSheetId="0" name="_xlnm.Print_Area" vbProcedure="false">'Stima Costi AI'!$A$1:$E$37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<sst xmlns="http://schemas.openxmlformats.org/spreadsheetml/2006/main" count="64" uniqueCount="61">
  <si>
    <t xml:space="preserve">EASYWIN — Stima Costi API Anthropic (Claude AI)</t>
  </si>
  <si>
    <t xml:space="preserve">Analisi automatica PDF bandi + esiti di gara con intelligenza artificiale</t>
  </si>
  <si>
    <t xml:space="preserve">PARAMETRI DI UTILIZZO</t>
  </si>
  <si>
    <t xml:space="preserve">Parametro</t>
  </si>
  <si>
    <t xml:space="preserve">Valore</t>
  </si>
  <si>
    <t xml:space="preserve">Unità</t>
  </si>
  <si>
    <t xml:space="preserve">Note</t>
  </si>
  <si>
    <t xml:space="preserve">Documenti analizzati al giorno</t>
  </si>
  <si>
    <t xml:space="preserve">doc/giorno</t>
  </si>
  <si>
    <t xml:space="preserve">Bandi + Esiti PDF</t>
  </si>
  <si>
    <t xml:space="preserve">Pagine medie per documento</t>
  </si>
  <si>
    <t xml:space="preserve">pagine</t>
  </si>
  <si>
    <t xml:space="preserve">Range tipico: 3-20 pagine</t>
  </si>
  <si>
    <t xml:space="preserve">Token medi per pagina (document)</t>
  </si>
  <si>
    <t xml:space="preserve">token/pag</t>
  </si>
  <si>
    <t xml:space="preserve">Stima Anthropic per PDF</t>
  </si>
  <si>
    <t xml:space="preserve">Token prompt di sistema</t>
  </si>
  <si>
    <t xml:space="preserve">token</t>
  </si>
  <si>
    <t xml:space="preserve">EXTRACTION_PROMPT fisso</t>
  </si>
  <si>
    <t xml:space="preserve">Token output medio (JSON)</t>
  </si>
  <si>
    <t xml:space="preserve">Risposta strutturata JSON</t>
  </si>
  <si>
    <t xml:space="preserve">Giorni operativi al mese</t>
  </si>
  <si>
    <t xml:space="preserve">giorni</t>
  </si>
  <si>
    <t xml:space="preserve">Lun-Ven × 4.4 settimane</t>
  </si>
  <si>
    <t xml:space="preserve">CALCOLO TOKEN PER RICHIESTA</t>
  </si>
  <si>
    <t xml:space="preserve">Calcolo</t>
  </si>
  <si>
    <t xml:space="preserve">Token</t>
  </si>
  <si>
    <t xml:space="preserve">Formula</t>
  </si>
  <si>
    <t xml:space="preserve">Token documento (pagine × token/pag)</t>
  </si>
  <si>
    <t xml:space="preserve">B7 × B8</t>
  </si>
  <si>
    <t xml:space="preserve">Token input totali (documento + prompt)</t>
  </si>
  <si>
    <t xml:space="preserve">B15 + B9</t>
  </si>
  <si>
    <t xml:space="preserve">Token output per richiesta</t>
  </si>
  <si>
    <t xml:space="preserve">Output medio (B10)</t>
  </si>
  <si>
    <t xml:space="preserve">PREZZI API (per milione di token) — Marzo 2026</t>
  </si>
  <si>
    <t xml:space="preserve">Modello</t>
  </si>
  <si>
    <t xml:space="preserve">Input $/MTok</t>
  </si>
  <si>
    <t xml:space="preserve">Output $/MTok</t>
  </si>
  <si>
    <t xml:space="preserve">Claude Sonnet 4 (attuale)</t>
  </si>
  <si>
    <t xml:space="preserve">Modello attuale nel codice</t>
  </si>
  <si>
    <t xml:space="preserve">Claude Haiku 4.5 (economico)</t>
  </si>
  <si>
    <t xml:space="preserve">Alternativa veloce e economica</t>
  </si>
  <si>
    <t xml:space="preserve">Claude Sonnet 4 + Batch API (-50%)</t>
  </si>
  <si>
    <t xml:space="preserve">Batch asincrono, risultati in 24h</t>
  </si>
  <si>
    <t xml:space="preserve">Claude Haiku 4.5 + Batch API (-50%)</t>
  </si>
  <si>
    <t xml:space="preserve">Massimo risparmio</t>
  </si>
  <si>
    <t xml:space="preserve">STIMA COSTI MENSILI (1.000 documenti/giorno)</t>
  </si>
  <si>
    <t xml:space="preserve">Costo/Giorno ($)</t>
  </si>
  <si>
    <t xml:space="preserve">Costo/Mese ($)</t>
  </si>
  <si>
    <t xml:space="preserve">Costo/Mese (€)</t>
  </si>
  <si>
    <t xml:space="preserve">Risparmio vs Sonnet</t>
  </si>
  <si>
    <t xml:space="preserve">Claude Sonnet 4</t>
  </si>
  <si>
    <t xml:space="preserve">— baseline —</t>
  </si>
  <si>
    <t xml:space="preserve">Claude Haiku 4.5</t>
  </si>
  <si>
    <t xml:space="preserve">Sonnet 4 + Batch (-50%)</t>
  </si>
  <si>
    <t xml:space="preserve">Haiku 4.5 + Batch (-50%)</t>
  </si>
  <si>
    <t xml:space="preserve">RACCOMANDAZIONE</t>
  </si>
  <si>
    <t xml:space="preserve">→ Per l'import massivo (1000 doc/giorno): usare Claude Haiku 4.5 + Batch API → massimo risparmio, qualità sufficiente per estrazione dati strutturati</t>
  </si>
  <si>
    <t xml:space="preserve">→ Per analisi on-demand (utente carica PDF singolo): mantenere Claude Sonnet 4 → migliore qualità per documenti complessi</t>
  </si>
  <si>
    <t xml:space="preserve">→ Strategia consigliata: Haiku per import automatico bulk + Sonnet per analisi interattiva utente</t>
  </si>
  <si>
    <t xml:space="preserve">⚙ I valori in BLU sono modificabili — cambia i parametri per simulare scenari diversi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</si>
</sst>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.00"/>
    <numFmt numFmtId="167" formatCode="\$#,##0"/>
    <numFmt numFmtId="168" formatCode="\€#,##0"/>
    <numFmt numFmtId="16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D3D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8C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3E0"/>
        <bgColor rgb="FFFFF9E6"/>
      </patternFill>
    </fill>
    <fill>
      <patternFill patternType="solid">
        <fgColor rgb="FFFF8C00"/>
        <bgColor rgb="FFFF6600"/>
      </patternFill>
    </fill>
    <fill>
      <patternFill patternType="solid">
        <fgColor rgb="FFFFFFF0"/>
        <bgColor rgb="FFFFFFFF"/>
      </patternFill>
    </fill>
    <fill>
      <patternFill patternType="solid">
        <fgColor rgb="FFFFF9E6"/>
        <bgColor rgb="FFFFF3E0"/>
      </patternFill>
    </fill>
    <fill>
      <patternFill patternType="solid">
        <fgColor rgb="FFE8F5E9"/>
        <bgColor rgb="FFFFF9E6"/>
      </patternFill>
    </fill>
    <fill>
      <patternFill patternType="solid">
        <fgColor rgb="FF2E7D32"/>
        <bgColor rgb="FF008000"/>
      </patternFill>
    </fill>
    <fill>
      <patternFill patternType="solid">
        <fgColor rgb="FFC8E6C9"/>
        <bgColor rgb="FFCCCCCC"/>
      </patternFill>
    </fill>
    <fill>
      <patternFill patternType="solid">
        <fgColor rgb="FF1565C0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E6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FF0"/>
      <rgbColor rgb="FFC8E6C9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E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  <col collapsed="false" customWidth="true" hidden="false" outlineLevel="0" max="5" min="5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/>
      <c r="E5" s="5" t="s">
        <v>6</v>
      </c>
    </row>
    <row r="6" customFormat="false" ht="15" hidden="false" customHeight="true" outlineLevel="0" collapsed="false">
      <c r="A6" s="6" t="s">
        <v>7</v>
      </c>
      <c r="B6" s="7" t="n">
        <v>1000</v>
      </c>
      <c r="C6" s="8" t="s">
        <v>8</v>
      </c>
      <c r="D6" s="9"/>
      <c r="E6" s="10" t="s">
        <v>9</v>
      </c>
    </row>
    <row r="7" customFormat="false" ht="15" hidden="false" customHeight="true" outlineLevel="0" collapsed="false">
      <c r="A7" s="6" t="s">
        <v>10</v>
      </c>
      <c r="B7" s="7" t="n">
        <v>8</v>
      </c>
      <c r="C7" s="8" t="s">
        <v>11</v>
      </c>
      <c r="D7" s="9"/>
      <c r="E7" s="10" t="s">
        <v>12</v>
      </c>
    </row>
    <row r="8" customFormat="false" ht="15" hidden="false" customHeight="true" outlineLevel="0" collapsed="false">
      <c r="A8" s="6" t="s">
        <v>13</v>
      </c>
      <c r="B8" s="7" t="n">
        <v>1500</v>
      </c>
      <c r="C8" s="8" t="s">
        <v>14</v>
      </c>
      <c r="D8" s="9"/>
      <c r="E8" s="10" t="s">
        <v>15</v>
      </c>
    </row>
    <row r="9" customFormat="false" ht="15" hidden="false" customHeight="true" outlineLevel="0" collapsed="false">
      <c r="A9" s="6" t="s">
        <v>16</v>
      </c>
      <c r="B9" s="7" t="n">
        <v>700</v>
      </c>
      <c r="C9" s="8" t="s">
        <v>17</v>
      </c>
      <c r="D9" s="9"/>
      <c r="E9" s="10" t="s">
        <v>18</v>
      </c>
    </row>
    <row r="10" customFormat="false" ht="15" hidden="false" customHeight="true" outlineLevel="0" collapsed="false">
      <c r="A10" s="6" t="s">
        <v>19</v>
      </c>
      <c r="B10" s="7" t="n">
        <v>2000</v>
      </c>
      <c r="C10" s="8" t="s">
        <v>17</v>
      </c>
      <c r="D10" s="9"/>
      <c r="E10" s="10" t="s">
        <v>20</v>
      </c>
    </row>
    <row r="11" customFormat="false" ht="15" hidden="false" customHeight="true" outlineLevel="0" collapsed="false">
      <c r="A11" s="6" t="s">
        <v>21</v>
      </c>
      <c r="B11" s="7" t="n">
        <v>22</v>
      </c>
      <c r="C11" s="8" t="s">
        <v>22</v>
      </c>
      <c r="D11" s="9"/>
      <c r="E11" s="10" t="s">
        <v>23</v>
      </c>
    </row>
    <row r="13" customFormat="false" ht="15" hidden="false" customHeight="true" outlineLevel="0" collapsed="false">
      <c r="A13" s="4" t="s">
        <v>24</v>
      </c>
      <c r="B13" s="4"/>
      <c r="C13" s="4"/>
      <c r="D13" s="4"/>
      <c r="E13" s="4"/>
    </row>
    <row r="14" customFormat="false" ht="15" hidden="false" customHeight="true" outlineLevel="0" collapsed="false">
      <c r="A14" s="5" t="s">
        <v>25</v>
      </c>
      <c r="B14" s="5" t="s">
        <v>26</v>
      </c>
      <c r="C14" s="5"/>
      <c r="D14" s="5"/>
      <c r="E14" s="5" t="s">
        <v>27</v>
      </c>
    </row>
    <row r="15" customFormat="false" ht="15" hidden="false" customHeight="true" outlineLevel="0" collapsed="false">
      <c r="A15" s="6" t="s">
        <v>28</v>
      </c>
      <c r="B15" s="11" t="n">
        <f aca="false">B7*B8</f>
        <v>12000</v>
      </c>
      <c r="C15" s="9"/>
      <c r="D15" s="9"/>
      <c r="E15" s="10" t="s">
        <v>29</v>
      </c>
    </row>
    <row r="16" customFormat="false" ht="15" hidden="false" customHeight="true" outlineLevel="0" collapsed="false">
      <c r="A16" s="6" t="s">
        <v>30</v>
      </c>
      <c r="B16" s="11" t="n">
        <f aca="false">B15+B9</f>
        <v>12700</v>
      </c>
      <c r="C16" s="9"/>
      <c r="D16" s="9"/>
      <c r="E16" s="10" t="s">
        <v>31</v>
      </c>
    </row>
    <row r="17" customFormat="false" ht="15" hidden="false" customHeight="true" outlineLevel="0" collapsed="false">
      <c r="A17" s="6" t="s">
        <v>32</v>
      </c>
      <c r="B17" s="11" t="n">
        <f aca="false">B10</f>
        <v>2000</v>
      </c>
      <c r="C17" s="9"/>
      <c r="D17" s="9"/>
      <c r="E17" s="10" t="s">
        <v>33</v>
      </c>
    </row>
    <row r="19" customFormat="false" ht="15" hidden="false" customHeight="true" outlineLevel="0" collapsed="false">
      <c r="A19" s="4" t="s">
        <v>34</v>
      </c>
      <c r="B19" s="4"/>
      <c r="C19" s="4"/>
      <c r="D19" s="4"/>
      <c r="E19" s="4"/>
    </row>
    <row r="20" customFormat="false" ht="15" hidden="false" customHeight="true" outlineLevel="0" collapsed="false">
      <c r="A20" s="5" t="s">
        <v>35</v>
      </c>
      <c r="B20" s="5" t="s">
        <v>36</v>
      </c>
      <c r="C20" s="5" t="s">
        <v>37</v>
      </c>
      <c r="D20" s="5"/>
      <c r="E20" s="5" t="s">
        <v>6</v>
      </c>
    </row>
    <row r="21" customFormat="false" ht="15" hidden="false" customHeight="true" outlineLevel="0" collapsed="false">
      <c r="A21" s="12" t="s">
        <v>38</v>
      </c>
      <c r="B21" s="13" t="n">
        <v>3</v>
      </c>
      <c r="C21" s="13" t="n">
        <v>15</v>
      </c>
      <c r="D21" s="14"/>
      <c r="E21" s="15" t="s">
        <v>39</v>
      </c>
    </row>
    <row r="22" customFormat="false" ht="15" hidden="false" customHeight="true" outlineLevel="0" collapsed="false">
      <c r="A22" s="6" t="s">
        <v>40</v>
      </c>
      <c r="B22" s="16" t="n">
        <v>1</v>
      </c>
      <c r="C22" s="16" t="n">
        <v>5</v>
      </c>
      <c r="D22" s="9"/>
      <c r="E22" s="10" t="s">
        <v>41</v>
      </c>
    </row>
    <row r="23" customFormat="false" ht="15" hidden="false" customHeight="true" outlineLevel="0" collapsed="false">
      <c r="A23" s="6" t="s">
        <v>42</v>
      </c>
      <c r="B23" s="16" t="n">
        <v>1.5</v>
      </c>
      <c r="C23" s="16" t="n">
        <v>7.5</v>
      </c>
      <c r="D23" s="9"/>
      <c r="E23" s="10" t="s">
        <v>43</v>
      </c>
    </row>
    <row r="24" customFormat="false" ht="15" hidden="false" customHeight="true" outlineLevel="0" collapsed="false">
      <c r="A24" s="6" t="s">
        <v>44</v>
      </c>
      <c r="B24" s="16" t="n">
        <v>0.5</v>
      </c>
      <c r="C24" s="16" t="n">
        <v>2.5</v>
      </c>
      <c r="D24" s="9"/>
      <c r="E24" s="10" t="s">
        <v>45</v>
      </c>
    </row>
    <row r="26" customFormat="false" ht="15" hidden="false" customHeight="true" outlineLevel="0" collapsed="false">
      <c r="A26" s="17" t="s">
        <v>46</v>
      </c>
      <c r="B26" s="17"/>
      <c r="C26" s="17"/>
      <c r="D26" s="17"/>
      <c r="E26" s="17"/>
    </row>
    <row r="27" customFormat="false" ht="26.25" hidden="false" customHeight="true" outlineLevel="0" collapsed="false">
      <c r="A27" s="18" t="s">
        <v>35</v>
      </c>
      <c r="B27" s="18" t="s">
        <v>47</v>
      </c>
      <c r="C27" s="18" t="s">
        <v>48</v>
      </c>
      <c r="D27" s="18" t="s">
        <v>49</v>
      </c>
      <c r="E27" s="18" t="s">
        <v>50</v>
      </c>
    </row>
    <row r="28" customFormat="false" ht="15" hidden="false" customHeight="true" outlineLevel="0" collapsed="false">
      <c r="A28" s="19" t="s">
        <v>51</v>
      </c>
      <c r="B28" s="20" t="n">
        <f aca="false">(B16*B6*B21/1000000)+(B17*B6*C21/1000000)</f>
        <v>68.1</v>
      </c>
      <c r="C28" s="21" t="n">
        <f aca="false">B28*B11</f>
        <v>1498.2</v>
      </c>
      <c r="D28" s="22" t="n">
        <f aca="false">C28*0.92</f>
        <v>1378.344</v>
      </c>
      <c r="E28" s="23" t="s">
        <v>52</v>
      </c>
    </row>
    <row r="29" customFormat="false" ht="15" hidden="false" customHeight="true" outlineLevel="0" collapsed="false">
      <c r="A29" s="24" t="s">
        <v>53</v>
      </c>
      <c r="B29" s="25" t="n">
        <f aca="false">(B16*B6*B22/1000000)+(B17*B6*C22/1000000)</f>
        <v>22.7</v>
      </c>
      <c r="C29" s="26" t="n">
        <f aca="false">B29*B11</f>
        <v>499.4</v>
      </c>
      <c r="D29" s="27" t="n">
        <f aca="false">C29*0.92</f>
        <v>459.448</v>
      </c>
      <c r="E29" s="28" t="n">
        <f aca="false">1-(C29/C28)</f>
        <v>0.666666666666667</v>
      </c>
    </row>
    <row r="30" customFormat="false" ht="15" hidden="false" customHeight="true" outlineLevel="0" collapsed="false">
      <c r="A30" s="19" t="s">
        <v>54</v>
      </c>
      <c r="B30" s="20" t="n">
        <f aca="false">(B16*B6*B23/1000000)+(B17*B6*C23/1000000)</f>
        <v>34.05</v>
      </c>
      <c r="C30" s="21" t="n">
        <f aca="false">B30*B11</f>
        <v>749.1</v>
      </c>
      <c r="D30" s="22" t="n">
        <f aca="false">C30*0.92</f>
        <v>689.172</v>
      </c>
      <c r="E30" s="29" t="n">
        <f aca="false">1-(C30/C28)</f>
        <v>0.5</v>
      </c>
    </row>
    <row r="31" customFormat="false" ht="15" hidden="false" customHeight="true" outlineLevel="0" collapsed="false">
      <c r="A31" s="30" t="s">
        <v>55</v>
      </c>
      <c r="B31" s="31" t="n">
        <f aca="false">(B16*B6*B24/1000000)+(B17*B6*C24/1000000)</f>
        <v>11.35</v>
      </c>
      <c r="C31" s="32" t="n">
        <f aca="false">B31*B11</f>
        <v>249.7</v>
      </c>
      <c r="D31" s="33" t="n">
        <f aca="false">C31*0.92</f>
        <v>229.724</v>
      </c>
      <c r="E31" s="34" t="n">
        <f aca="false">1-(C31/C28)</f>
        <v>0.833333333333333</v>
      </c>
    </row>
    <row r="33" customFormat="false" ht="15" hidden="false" customHeight="true" outlineLevel="0" collapsed="false">
      <c r="A33" s="35" t="s">
        <v>56</v>
      </c>
      <c r="B33" s="35"/>
      <c r="C33" s="35"/>
      <c r="D33" s="35"/>
      <c r="E33" s="35"/>
    </row>
    <row r="34" customFormat="false" ht="27.75" hidden="false" customHeight="true" outlineLevel="0" collapsed="false">
      <c r="A34" s="36" t="s">
        <v>57</v>
      </c>
      <c r="B34" s="36"/>
      <c r="C34" s="36"/>
      <c r="D34" s="36"/>
      <c r="E34" s="36"/>
    </row>
    <row r="35" customFormat="false" ht="27.75" hidden="false" customHeight="true" outlineLevel="0" collapsed="false">
      <c r="A35" s="36" t="s">
        <v>58</v>
      </c>
      <c r="B35" s="36"/>
      <c r="C35" s="36"/>
      <c r="D35" s="36"/>
      <c r="E35" s="36"/>
    </row>
    <row r="36" customFormat="false" ht="27.75" hidden="false" customHeight="true" outlineLevel="0" collapsed="false">
      <c r="A36" s="37" t="s">
        <v>59</v>
      </c>
      <c r="B36" s="37"/>
      <c r="C36" s="37"/>
      <c r="D36" s="37"/>
      <c r="E36" s="37"/>
    </row>
    <row r="37" customFormat="false" ht="27.75" hidden="false" customHeight="true" outlineLevel="0" collapsed="false">
      <c r="A37" s="36" t="s">
        <v>60</v>
      </c>
      <c r="B37" s="36"/>
      <c r="C37" s="36"/>
      <c r="D37" s="36"/>
      <c r="E37" s="36"/>
    </row>
  </sheetData>
  <mergeCells count="11">
    <mergeCell ref="A1:E1"/>
    <mergeCell ref="A2:E2"/>
    <mergeCell ref="A4:E4"/>
    <mergeCell ref="A13:E13"/>
    <mergeCell ref="A19:E19"/>
    <mergeCell ref="A26:E26"/>
    <mergeCell ref="A33:E33"/>
    <mergeCell ref="A34:E34"/>
    <mergeCell ref="A35:E35"/>
    <mergeCell ref="A36:E36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2026-03-30T22:20:04Z</dcterms:created>
  <dc:creator>openpyxl</dc:creator>
  <dc:description/>
  <dc:language>en-US</dc:language>
  <cp:lastModifiedBy/>
  <dcterms:modified xsi:type="dcterms:W3CDTF">2026-03-30T22:20:34Z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